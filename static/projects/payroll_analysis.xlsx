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lopez/Downloads/"/>
    </mc:Choice>
  </mc:AlternateContent>
  <xr:revisionPtr revIDLastSave="0" documentId="8_{3D35A4A8-F7E9-AE4C-A935-23B59F7BFD99}" xr6:coauthVersionLast="47" xr6:coauthVersionMax="47" xr10:uidLastSave="{00000000-0000-0000-0000-000000000000}"/>
  <bookViews>
    <workbookView xWindow="14820" yWindow="680" windowWidth="15420" windowHeight="16540" activeTab="1" xr2:uid="{DA999AFF-7849-2F4E-B26C-992CA99B2D92}"/>
  </bookViews>
  <sheets>
    <sheet name="Lopez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B9" i="1"/>
  <c r="G9" i="1" s="1"/>
  <c r="C9" i="1"/>
  <c r="D9" i="1"/>
  <c r="E9" i="1"/>
  <c r="F9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</calcChain>
</file>

<file path=xl/sharedStrings.xml><?xml version="1.0" encoding="utf-8"?>
<sst xmlns="http://schemas.openxmlformats.org/spreadsheetml/2006/main" count="30" uniqueCount="17">
  <si>
    <t>Hiring Pay</t>
  </si>
  <si>
    <t>Assistant Manager</t>
  </si>
  <si>
    <t>Shift Supervisors</t>
  </si>
  <si>
    <t>Owner/Head Manager</t>
  </si>
  <si>
    <t>Manager</t>
  </si>
  <si>
    <t>Regular Associates</t>
  </si>
  <si>
    <t>Quarter 1</t>
  </si>
  <si>
    <t>Quarter 2</t>
  </si>
  <si>
    <t>Quarter 3</t>
  </si>
  <si>
    <t>Quarter 4</t>
  </si>
  <si>
    <t>Quarter 5</t>
  </si>
  <si>
    <t>Quarter 6</t>
  </si>
  <si>
    <t>Total</t>
  </si>
  <si>
    <t>Pay Periods</t>
  </si>
  <si>
    <t>Minimums</t>
  </si>
  <si>
    <t>Maximums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</si>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</sst>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>
    <font>
      <sz val="12"/>
      <color theme="1"/>
      <name val="Calibri"/>
      <family val="2"/>
      <scheme val="minor"/>
    </font>
    <font>
      <sz val="12"/>
      <color theme="9" tint="-0.249977111117893"/>
      <name val="Times New Roman Bold"/>
    </font>
    <font>
      <sz val="12"/>
      <color theme="5" tint="0.39997558519241921"/>
      <name val="Times New Roman"/>
      <family val="1"/>
    </font>
    <font>
      <sz val="14"/>
      <color theme="5"/>
      <name val="Cooper Black"/>
      <family val="5"/>
    </font>
    <font>
      <b/>
      <i/>
      <sz val="14"/>
      <color theme="5"/>
      <name val="Cooper Black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361038203557887E-2"/>
          <c:y val="9.865714285714286E-2"/>
          <c:w val="0.90231029454651501"/>
          <c:h val="0.82079999999999997"/>
        </c:manualLayout>
      </c:layout>
      <c:barChart>
        <c:barDir val="bar"/>
        <c:grouping val="clustered"/>
        <c:varyColors val="0"/>
        <c:ser>
          <c:idx val="0"/>
          <c:order val="0"/>
          <c:tx>
            <c:v>Owner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Lopez!$B$3:$B$8</c:f>
              <c:numCache>
                <c:formatCode>"$"#,##0.00</c:formatCode>
                <c:ptCount val="6"/>
                <c:pt idx="0">
                  <c:v>15000</c:v>
                </c:pt>
                <c:pt idx="1">
                  <c:v>15000</c:v>
                </c:pt>
                <c:pt idx="2">
                  <c:v>12000</c:v>
                </c:pt>
                <c:pt idx="3">
                  <c:v>13000</c:v>
                </c:pt>
                <c:pt idx="4">
                  <c:v>18000</c:v>
                </c:pt>
                <c:pt idx="5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4-D248-8032-31717FFDC46C}"/>
            </c:ext>
          </c:extLst>
        </c:ser>
        <c:ser>
          <c:idx val="1"/>
          <c:order val="1"/>
          <c:tx>
            <c:v>Manager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Lopez!$C$3:$C$8</c:f>
              <c:numCache>
                <c:formatCode>"$"#,##0.00</c:formatCode>
                <c:ptCount val="6"/>
                <c:pt idx="0">
                  <c:v>10000</c:v>
                </c:pt>
                <c:pt idx="1">
                  <c:v>9600</c:v>
                </c:pt>
                <c:pt idx="2">
                  <c:v>12000</c:v>
                </c:pt>
                <c:pt idx="3">
                  <c:v>13000</c:v>
                </c:pt>
                <c:pt idx="4">
                  <c:v>9000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94-D248-8032-31717FFDC46C}"/>
            </c:ext>
          </c:extLst>
        </c:ser>
        <c:ser>
          <c:idx val="2"/>
          <c:order val="2"/>
          <c:tx>
            <c:v>Assistant Manager</c:v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Lopez!$D$3:$D$8</c:f>
              <c:numCache>
                <c:formatCode>"$"#,##0.00</c:formatCode>
                <c:ptCount val="6"/>
                <c:pt idx="0">
                  <c:v>9000</c:v>
                </c:pt>
                <c:pt idx="1">
                  <c:v>8500</c:v>
                </c:pt>
                <c:pt idx="2">
                  <c:v>9500</c:v>
                </c:pt>
                <c:pt idx="3">
                  <c:v>10000</c:v>
                </c:pt>
                <c:pt idx="4">
                  <c:v>8000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94-D248-8032-31717FFDC46C}"/>
            </c:ext>
          </c:extLst>
        </c:ser>
        <c:ser>
          <c:idx val="3"/>
          <c:order val="3"/>
          <c:tx>
            <c:v>Shift Supervisor</c:v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Lopez!$E$3:$E$8</c:f>
              <c:numCache>
                <c:formatCode>"$"#,##0.00</c:formatCode>
                <c:ptCount val="6"/>
                <c:pt idx="0">
                  <c:v>7500</c:v>
                </c:pt>
                <c:pt idx="1">
                  <c:v>6000</c:v>
                </c:pt>
                <c:pt idx="2">
                  <c:v>9000</c:v>
                </c:pt>
                <c:pt idx="3">
                  <c:v>9000</c:v>
                </c:pt>
                <c:pt idx="4">
                  <c:v>6500</c:v>
                </c:pt>
                <c:pt idx="5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94-D248-8032-31717FFDC46C}"/>
            </c:ext>
          </c:extLst>
        </c:ser>
        <c:ser>
          <c:idx val="4"/>
          <c:order val="4"/>
          <c:tx>
            <c:v>Regular Associate</c:v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Lopez!$F$3:$F$8</c:f>
              <c:numCache>
                <c:formatCode>"$"#,##0.00</c:formatCode>
                <c:ptCount val="6"/>
                <c:pt idx="0">
                  <c:v>4000</c:v>
                </c:pt>
                <c:pt idx="1">
                  <c:v>3500</c:v>
                </c:pt>
                <c:pt idx="2">
                  <c:v>3725</c:v>
                </c:pt>
                <c:pt idx="3">
                  <c:v>4000</c:v>
                </c:pt>
                <c:pt idx="4">
                  <c:v>3000</c:v>
                </c:pt>
                <c:pt idx="5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94-D248-8032-31717FFDC4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45744272"/>
        <c:axId val="1146243360"/>
      </c:barChart>
      <c:catAx>
        <c:axId val="114574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243360"/>
        <c:crosses val="autoZero"/>
        <c:auto val="1"/>
        <c:lblAlgn val="ctr"/>
        <c:lblOffset val="100"/>
        <c:noMultiLvlLbl val="0"/>
      </c:catAx>
      <c:valAx>
        <c:axId val="1146243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74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361038203557887E-2"/>
          <c:y val="9.865714285714286E-2"/>
          <c:w val="0.90231029454651501"/>
          <c:h val="0.82079999999999997"/>
        </c:manualLayout>
      </c:layout>
      <c:barChart>
        <c:barDir val="bar"/>
        <c:grouping val="clustered"/>
        <c:varyColors val="0"/>
        <c:ser>
          <c:idx val="0"/>
          <c:order val="0"/>
          <c:tx>
            <c:v>Owner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Lopez!$B$3:$B$8</c:f>
              <c:numCache>
                <c:formatCode>"$"#,##0.00</c:formatCode>
                <c:ptCount val="6"/>
                <c:pt idx="0">
                  <c:v>15000</c:v>
                </c:pt>
                <c:pt idx="1">
                  <c:v>15000</c:v>
                </c:pt>
                <c:pt idx="2">
                  <c:v>12000</c:v>
                </c:pt>
                <c:pt idx="3">
                  <c:v>13000</c:v>
                </c:pt>
                <c:pt idx="4">
                  <c:v>18000</c:v>
                </c:pt>
                <c:pt idx="5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5-E347-86FF-BBCC643365CD}"/>
            </c:ext>
          </c:extLst>
        </c:ser>
        <c:ser>
          <c:idx val="1"/>
          <c:order val="1"/>
          <c:tx>
            <c:v>Manager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Lopez!$C$3:$C$8</c:f>
              <c:numCache>
                <c:formatCode>"$"#,##0.00</c:formatCode>
                <c:ptCount val="6"/>
                <c:pt idx="0">
                  <c:v>10000</c:v>
                </c:pt>
                <c:pt idx="1">
                  <c:v>9600</c:v>
                </c:pt>
                <c:pt idx="2">
                  <c:v>12000</c:v>
                </c:pt>
                <c:pt idx="3">
                  <c:v>13000</c:v>
                </c:pt>
                <c:pt idx="4">
                  <c:v>9000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5-E347-86FF-BBCC643365CD}"/>
            </c:ext>
          </c:extLst>
        </c:ser>
        <c:ser>
          <c:idx val="2"/>
          <c:order val="2"/>
          <c:tx>
            <c:v>Assistant Manager</c:v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Lopez!$D$3:$D$8</c:f>
              <c:numCache>
                <c:formatCode>"$"#,##0.00</c:formatCode>
                <c:ptCount val="6"/>
                <c:pt idx="0">
                  <c:v>9000</c:v>
                </c:pt>
                <c:pt idx="1">
                  <c:v>8500</c:v>
                </c:pt>
                <c:pt idx="2">
                  <c:v>9500</c:v>
                </c:pt>
                <c:pt idx="3">
                  <c:v>10000</c:v>
                </c:pt>
                <c:pt idx="4">
                  <c:v>8000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75-E347-86FF-BBCC643365CD}"/>
            </c:ext>
          </c:extLst>
        </c:ser>
        <c:ser>
          <c:idx val="3"/>
          <c:order val="3"/>
          <c:tx>
            <c:v>Shift Supervisor</c:v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Lopez!$E$3:$E$8</c:f>
              <c:numCache>
                <c:formatCode>"$"#,##0.00</c:formatCode>
                <c:ptCount val="6"/>
                <c:pt idx="0">
                  <c:v>7500</c:v>
                </c:pt>
                <c:pt idx="1">
                  <c:v>6000</c:v>
                </c:pt>
                <c:pt idx="2">
                  <c:v>9000</c:v>
                </c:pt>
                <c:pt idx="3">
                  <c:v>9000</c:v>
                </c:pt>
                <c:pt idx="4">
                  <c:v>6500</c:v>
                </c:pt>
                <c:pt idx="5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75-E347-86FF-BBCC643365CD}"/>
            </c:ext>
          </c:extLst>
        </c:ser>
        <c:ser>
          <c:idx val="4"/>
          <c:order val="4"/>
          <c:tx>
            <c:v>Regular Associate</c:v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Lopez!$F$3:$F$8</c:f>
              <c:numCache>
                <c:formatCode>"$"#,##0.00</c:formatCode>
                <c:ptCount val="6"/>
                <c:pt idx="0">
                  <c:v>4000</c:v>
                </c:pt>
                <c:pt idx="1">
                  <c:v>3500</c:v>
                </c:pt>
                <c:pt idx="2">
                  <c:v>3725</c:v>
                </c:pt>
                <c:pt idx="3">
                  <c:v>4000</c:v>
                </c:pt>
                <c:pt idx="4">
                  <c:v>3000</c:v>
                </c:pt>
                <c:pt idx="5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75-E347-86FF-BBCC643365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45744272"/>
        <c:axId val="1146243360"/>
      </c:barChart>
      <c:catAx>
        <c:axId val="114574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243360"/>
        <c:crosses val="autoZero"/>
        <c:auto val="1"/>
        <c:lblAlgn val="ctr"/>
        <c:lblOffset val="100"/>
        <c:noMultiLvlLbl val="0"/>
      </c:catAx>
      <c:valAx>
        <c:axId val="1146243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74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16</xdr:row>
      <xdr:rowOff>76200</xdr:rowOff>
    </xdr:from>
    <xdr:to>
      <xdr:col>3</xdr:col>
      <xdr:colOff>1295400</xdr:colOff>
      <xdr:row>38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D02CE-CD1B-0848-89CF-A94931DB2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</xdr:row>
      <xdr:rowOff>12700</xdr:rowOff>
    </xdr:from>
    <xdr:to>
      <xdr:col>9</xdr:col>
      <xdr:colOff>292100</xdr:colOff>
      <xdr:row>22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146326-B661-C2F2-33A0-BEE825E9B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3C7B-5F34-E544-A36A-6BA466398AC5}">
  <sheetPr>
    <tabColor theme="9" tint="0.39997558519241921"/>
  </sheetPr>
  <dimension ref="A1:H36"/>
  <sheetViews>
    <sheetView topLeftCell="A2" workbookViewId="0">
      <selection activeCell="E43" sqref="E43"/>
    </sheetView>
  </sheetViews>
  <sheetFormatPr baseColWidth="10" defaultRowHeight="16"/>
  <cols>
    <col min="1" max="1" width="43" customWidth="1"/>
    <col min="2" max="2" width="20.33203125" bestFit="1" customWidth="1"/>
    <col min="3" max="3" width="10.1640625" bestFit="1" customWidth="1"/>
    <col min="4" max="4" width="17.5" bestFit="1" customWidth="1"/>
    <col min="5" max="5" width="16" bestFit="1" customWidth="1"/>
    <col min="6" max="6" width="17.5" bestFit="1" customWidth="1"/>
    <col min="7" max="8" width="11.1640625" bestFit="1" customWidth="1"/>
  </cols>
  <sheetData>
    <row r="1" spans="1:8" ht="18">
      <c r="A1" s="4" t="s">
        <v>0</v>
      </c>
      <c r="B1" s="5"/>
      <c r="C1" s="5"/>
      <c r="D1" s="5"/>
      <c r="E1" s="5"/>
      <c r="F1" s="5"/>
      <c r="G1" s="5"/>
    </row>
    <row r="2" spans="1:8">
      <c r="A2" s="1" t="s">
        <v>13</v>
      </c>
      <c r="B2" s="1" t="s">
        <v>3</v>
      </c>
      <c r="C2" s="1" t="s">
        <v>4</v>
      </c>
      <c r="D2" s="1" t="s">
        <v>1</v>
      </c>
      <c r="E2" s="1" t="s">
        <v>2</v>
      </c>
      <c r="F2" s="1" t="s">
        <v>5</v>
      </c>
      <c r="G2" s="1" t="s">
        <v>12</v>
      </c>
    </row>
    <row r="3" spans="1:8">
      <c r="A3" s="3" t="s">
        <v>6</v>
      </c>
      <c r="B3" s="2">
        <v>15000</v>
      </c>
      <c r="C3" s="2">
        <v>10000</v>
      </c>
      <c r="D3" s="2">
        <v>9000</v>
      </c>
      <c r="E3" s="2">
        <v>7500</v>
      </c>
      <c r="F3" s="2">
        <v>4000</v>
      </c>
      <c r="G3" s="2">
        <f t="shared" ref="G3:G9" si="0">SUM(B3:F3)</f>
        <v>45500</v>
      </c>
    </row>
    <row r="4" spans="1:8">
      <c r="A4" s="3" t="s">
        <v>7</v>
      </c>
      <c r="B4" s="2">
        <v>15000</v>
      </c>
      <c r="C4" s="2">
        <v>9600</v>
      </c>
      <c r="D4" s="2">
        <v>8500</v>
      </c>
      <c r="E4" s="2">
        <v>6000</v>
      </c>
      <c r="F4" s="2">
        <v>3500</v>
      </c>
      <c r="G4" s="2">
        <f t="shared" si="0"/>
        <v>42600</v>
      </c>
    </row>
    <row r="5" spans="1:8">
      <c r="A5" s="3" t="s">
        <v>8</v>
      </c>
      <c r="B5" s="2">
        <v>12000</v>
      </c>
      <c r="C5" s="2">
        <v>12000</v>
      </c>
      <c r="D5" s="2">
        <v>9500</v>
      </c>
      <c r="E5" s="2">
        <v>9000</v>
      </c>
      <c r="F5" s="2">
        <v>3725</v>
      </c>
      <c r="G5" s="2">
        <f t="shared" si="0"/>
        <v>46225</v>
      </c>
    </row>
    <row r="6" spans="1:8">
      <c r="A6" s="3" t="s">
        <v>9</v>
      </c>
      <c r="B6" s="2">
        <v>13000</v>
      </c>
      <c r="C6" s="2">
        <v>13000</v>
      </c>
      <c r="D6" s="2">
        <v>10000</v>
      </c>
      <c r="E6" s="2">
        <v>9000</v>
      </c>
      <c r="F6" s="2">
        <v>4000</v>
      </c>
      <c r="G6" s="2">
        <f t="shared" si="0"/>
        <v>49000</v>
      </c>
    </row>
    <row r="7" spans="1:8">
      <c r="A7" s="3" t="s">
        <v>10</v>
      </c>
      <c r="B7" s="2">
        <v>18000</v>
      </c>
      <c r="C7" s="2">
        <v>9000</v>
      </c>
      <c r="D7" s="2">
        <v>8000</v>
      </c>
      <c r="E7" s="2">
        <v>6500</v>
      </c>
      <c r="F7" s="2">
        <v>3000</v>
      </c>
      <c r="G7" s="2">
        <f t="shared" si="0"/>
        <v>44500</v>
      </c>
    </row>
    <row r="8" spans="1:8">
      <c r="A8" s="3" t="s">
        <v>11</v>
      </c>
      <c r="B8" s="2">
        <v>20000</v>
      </c>
      <c r="C8" s="2">
        <v>10000</v>
      </c>
      <c r="D8" s="2">
        <v>10000</v>
      </c>
      <c r="E8" s="2">
        <v>9500</v>
      </c>
      <c r="F8" s="2">
        <v>4500</v>
      </c>
      <c r="G8" s="2">
        <f t="shared" si="0"/>
        <v>54000</v>
      </c>
      <c r="H8" s="2"/>
    </row>
    <row r="9" spans="1:8">
      <c r="A9" s="3" t="s">
        <v>12</v>
      </c>
      <c r="B9" s="2">
        <f>SUM(B3:B8)</f>
        <v>93000</v>
      </c>
      <c r="C9" s="2">
        <f>SUM(C3:C8)</f>
        <v>63600</v>
      </c>
      <c r="D9" s="2">
        <f>SUM(D3:D8)</f>
        <v>55000</v>
      </c>
      <c r="E9" s="2">
        <f>SUM(E3:E8)</f>
        <v>47500</v>
      </c>
      <c r="F9" s="2">
        <f>SUM(F3:F8)</f>
        <v>22725</v>
      </c>
      <c r="G9" s="2">
        <f t="shared" si="0"/>
        <v>281825</v>
      </c>
    </row>
    <row r="10" spans="1:8">
      <c r="A10" s="3"/>
    </row>
    <row r="11" spans="1:8">
      <c r="A11" s="3" t="s">
        <v>14</v>
      </c>
      <c r="B11" s="2">
        <f>MIN(B3:B8)</f>
        <v>12000</v>
      </c>
      <c r="C11" s="2">
        <f>MIN(C3:C8)</f>
        <v>9000</v>
      </c>
      <c r="D11" s="2">
        <f>MIN(D3:D8)</f>
        <v>8000</v>
      </c>
      <c r="E11" s="2">
        <f>MIN(E3:E8)</f>
        <v>6000</v>
      </c>
      <c r="F11" s="2">
        <f>MIN(F3:F8)</f>
        <v>3000</v>
      </c>
    </row>
    <row r="12" spans="1:8">
      <c r="A12" s="3" t="s">
        <v>15</v>
      </c>
      <c r="B12" s="2">
        <f>MAX(B3:B8)</f>
        <v>20000</v>
      </c>
      <c r="C12" s="2">
        <f>MAX(C3:C8)</f>
        <v>13000</v>
      </c>
      <c r="D12" s="2">
        <f>MAX(D3:D8)</f>
        <v>10000</v>
      </c>
      <c r="E12" s="2">
        <f>MAX(E3:E8)</f>
        <v>9500</v>
      </c>
      <c r="F12" s="2">
        <f>MAX(F3:F8)</f>
        <v>4500</v>
      </c>
    </row>
    <row r="13" spans="1:8">
      <c r="A13" s="3" t="s">
        <v>16</v>
      </c>
      <c r="B13" s="2">
        <f>AVERAGE(B3:B8)</f>
        <v>15500</v>
      </c>
      <c r="C13" s="2">
        <f>AVERAGE(C3:C8)</f>
        <v>10600</v>
      </c>
      <c r="D13" s="2">
        <f>AVERAGE(D3:D8)</f>
        <v>9166.6666666666661</v>
      </c>
      <c r="E13" s="2">
        <f>AVERAGE(E3:E8)</f>
        <v>7916.666666666667</v>
      </c>
      <c r="F13" s="2">
        <f>AVERAGE(F3:F8)</f>
        <v>3787.5</v>
      </c>
    </row>
    <row r="21" spans="5:5">
      <c r="E21" t="s">
        <v>11</v>
      </c>
    </row>
    <row r="24" spans="5:5">
      <c r="E24" t="s">
        <v>10</v>
      </c>
    </row>
    <row r="27" spans="5:5">
      <c r="E27" t="s">
        <v>9</v>
      </c>
    </row>
    <row r="30" spans="5:5">
      <c r="E30" t="s">
        <v>8</v>
      </c>
    </row>
    <row r="33" spans="5:5">
      <c r="E33" t="s">
        <v>7</v>
      </c>
    </row>
    <row r="36" spans="5:5">
      <c r="E36" t="s">
        <v>6</v>
      </c>
    </row>
  </sheetData>
  <mergeCells count="1">
    <mergeCell ref="A1:G1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8151785-B9C7-8448-98E6-088FF7B0B5C8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sqref>F36</xm:sqref>
            </x14:sparkline>
          </x14:sparklines>
        </x14:sparklineGroup>
        <x14:sparklineGroup displayEmptyCellsAs="gap" xr2:uid="{FB50A883-8357-FD47-BB4A-4E9CD8CED7ED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sqref>F33</xm:sqref>
            </x14:sparkline>
          </x14:sparklines>
        </x14:sparklineGroup>
        <x14:sparklineGroup displayEmptyCellsAs="gap" xr2:uid="{6C217EA3-72F6-7846-B46D-62BB4625CD52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sqref>F30</xm:sqref>
            </x14:sparkline>
          </x14:sparklines>
        </x14:sparklineGroup>
        <x14:sparklineGroup displayEmptyCellsAs="gap" xr2:uid="{CB7AB7DD-F3EC-5D41-B6F1-586442F4DFE6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sqref>F27</xm:sqref>
            </x14:sparkline>
          </x14:sparklines>
        </x14:sparklineGroup>
        <x14:sparklineGroup displayEmptyCellsAs="gap" xr2:uid="{A366CA4A-EA73-0A46-936C-399595289163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sqref>F24</xm:sqref>
            </x14:sparkline>
          </x14:sparklines>
        </x14:sparklineGroup>
        <x14:sparklineGroup displayEmptyCellsAs="gap" xr2:uid="{377C439A-3BAD-6546-9E82-D64648F0B56F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sqref>F21</xm:sqref>
            </x14:sparkline>
          </x14:sparklines>
        </x14:sparklineGroup>
        <x14:sparklineGroup displayEmptyCellsAs="gap" xr2:uid="{B6326F2E-8863-5748-A278-56BD209E1989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sqref>F53</xm:sqref>
            </x14:sparkline>
          </x14:sparklines>
        </x14:sparklineGroup>
        <x14:sparklineGroup displayEmptyCellsAs="gap" xr2:uid="{C90DB4BC-34C0-864D-BA74-B84285598784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sqref>F50</xm:sqref>
            </x14:sparkline>
          </x14:sparklines>
        </x14:sparklineGroup>
        <x14:sparklineGroup displayEmptyCellsAs="gap" xr2:uid="{6939A882-900D-2D4A-B6EA-157ED8CE8043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sqref>F47</xm:sqref>
            </x14:sparkline>
          </x14:sparklines>
        </x14:sparklineGroup>
        <x14:sparklineGroup displayEmptyCellsAs="gap" xr2:uid="{75747DCE-E1E0-814A-A0A7-F5ABCFB5CDB7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sqref>F44</xm:sqref>
            </x14:sparkline>
          </x14:sparklines>
        </x14:sparklineGroup>
        <x14:sparklineGroup displayEmptyCellsAs="gap" xr2:uid="{3370F092-53F3-2E49-B0A9-9CC62114D94B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sqref>F41</xm:sqref>
            </x14:sparkline>
          </x14:sparklines>
        </x14:sparklineGroup>
        <x14:sparklineGroup displayEmptyCellsAs="gap" xr2:uid="{91158610-BE90-B043-B6A6-4FCEB8232FCE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sqref>F38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94E9-11E0-DB4B-AFBD-0663C1254800}">
  <sheetPr>
    <tabColor theme="5" tint="0.59999389629810485"/>
  </sheetPr>
  <dimension ref="K6:K21"/>
  <sheetViews>
    <sheetView tabSelected="1" topLeftCell="B1" workbookViewId="0">
      <selection activeCell="K31" sqref="K31"/>
    </sheetView>
  </sheetViews>
  <sheetFormatPr baseColWidth="10" defaultRowHeight="16"/>
  <sheetData>
    <row r="6" spans="11:11">
      <c r="K6" t="s">
        <v>11</v>
      </c>
    </row>
    <row r="9" spans="11:11">
      <c r="K9" t="s">
        <v>10</v>
      </c>
    </row>
    <row r="12" spans="11:11">
      <c r="K12" t="s">
        <v>9</v>
      </c>
    </row>
    <row r="15" spans="11:11">
      <c r="K15" t="s">
        <v>8</v>
      </c>
    </row>
    <row r="18" spans="11:11">
      <c r="K18" t="s">
        <v>7</v>
      </c>
    </row>
    <row r="21" spans="11:11">
      <c r="K21" t="s">
        <v>6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3975A87-670A-8046-BDA0-1DFDFB6E150F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Lopez!B8:F8</xm:f>
              <xm:sqref>L6</xm:sqref>
            </x14:sparkline>
          </x14:sparklines>
        </x14:sparklineGroup>
        <x14:sparklineGroup displayEmptyCellsAs="gap" xr2:uid="{E6B9E013-7B63-D94D-8BE4-75F6AF4F3739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Lopez!B7:F7</xm:f>
              <xm:sqref>L9</xm:sqref>
            </x14:sparkline>
          </x14:sparklines>
        </x14:sparklineGroup>
        <x14:sparklineGroup displayEmptyCellsAs="gap" xr2:uid="{4D14A773-D391-884C-B7C8-05FC6695D38C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Lopez!B6:F6</xm:f>
              <xm:sqref>L12</xm:sqref>
            </x14:sparkline>
          </x14:sparklines>
        </x14:sparklineGroup>
        <x14:sparklineGroup displayEmptyCellsAs="gap" xr2:uid="{0B0D7EEA-0C29-D848-B897-CCCF276C6B9D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Lopez!B5:F5</xm:f>
              <xm:sqref>L15</xm:sqref>
            </x14:sparkline>
          </x14:sparklines>
        </x14:sparklineGroup>
        <x14:sparklineGroup displayEmptyCellsAs="gap" xr2:uid="{0D02FFCA-5281-D345-884B-026DBE844AC3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Lopez!B4:F4</xm:f>
              <xm:sqref>L18</xm:sqref>
            </x14:sparkline>
          </x14:sparklines>
        </x14:sparklineGroup>
        <x14:sparklineGroup displayEmptyCellsAs="gap" xr2:uid="{70F0A4E3-CE62-1749-90C2-E59EA72944F7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Lopez!B3:F3</xm:f>
              <xm:sqref>L21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Lopez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Camryn Lopez</dc:creator>
  <cp:lastModifiedBy>Cam Lopez</cp:lastModifiedBy>
  <dcterms:created xsi:type="dcterms:W3CDTF">2023-12-03T03:41:55Z</dcterms:created>
  <dcterms:modified xsi:type="dcterms:W3CDTF">2026-10-18T22:55:00Z</dcterms:modified>
</cp:coreProperties>
</file>